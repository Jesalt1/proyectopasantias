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2\Documents\"/>
    </mc:Choice>
  </mc:AlternateContent>
  <xr:revisionPtr revIDLastSave="0" documentId="13_ncr:1_{564EB4E6-66FB-46E8-AAB5-560C4C0B5322}" xr6:coauthVersionLast="43" xr6:coauthVersionMax="43" xr10:uidLastSave="{00000000-0000-0000-0000-000000000000}"/>
  <bookViews>
    <workbookView xWindow="-120" yWindow="-120" windowWidth="24240" windowHeight="13020" activeTab="1" xr2:uid="{A0B45CAA-00D2-46D4-A6F6-D154084B1A3B}"/>
  </bookViews>
  <sheets>
    <sheet name="Registros" sheetId="1" r:id="rId1"/>
    <sheet name="Tabla Usuario" sheetId="7" r:id="rId2"/>
    <sheet name="Tabla Sistema" sheetId="6" r:id="rId3"/>
    <sheet name="Tablas" sheetId="4" r:id="rId4"/>
  </sheets>
  <definedNames>
    <definedName name="_xlcn.WorksheetConnection_Formato.xlsmTabla_Sistema1" hidden="1">Tabla_Sistema[]</definedName>
    <definedName name="_xlcn.WorksheetConnection_Formato.xlsmTabla_Usuario1" hidden="1">Tabla_Usuario[]</definedName>
    <definedName name="Descripcion">Tablas!$B$5:$B$6</definedName>
    <definedName name="General">Tablas!$H$5:$H$46</definedName>
    <definedName name="Individual">Tablas!$E$5:$E$16</definedName>
    <definedName name="Tipo_Valor">Tablas!$K$5:$K$6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_Usuario" name="Tabla_Usuario" connection="WorksheetConnection_Formato.xlsm!Tabla_Usuario"/>
          <x15:modelTable id="Tabla_Sistema" name="Tabla_Sistema" connection="WorksheetConnection_Formato.xlsm!Tabla_Sistema"/>
        </x15:modelTables>
        <x15:modelRelationships>
          <x15:modelRelationship fromTable="Tabla_Usuario" fromColumn="Cedula" toTable="Tabla_Sistema" toColumn="Cedul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6" l="1"/>
  <c r="E2" i="6" s="1"/>
  <c r="C2" i="6"/>
  <c r="F2" i="6"/>
  <c r="G2" i="6" s="1"/>
  <c r="H2" i="6"/>
  <c r="J2" i="6"/>
  <c r="K2" i="6"/>
  <c r="C4" i="1"/>
  <c r="B2" i="6" l="1"/>
  <c r="I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766D06-659C-4D1F-824A-9479B38CC01E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EC68038-9E95-4951-AE10-329DC3E23E9A}" name="WorksheetConnection_Formato.xlsm!Tabla_Sistema" type="102" refreshedVersion="6" minRefreshableVersion="5">
    <extLst>
      <ext xmlns:x15="http://schemas.microsoft.com/office/spreadsheetml/2010/11/main" uri="{DE250136-89BD-433C-8126-D09CA5730AF9}">
        <x15:connection id="Tabla_Sistema">
          <x15:rangePr sourceName="_xlcn.WorksheetConnection_Formato.xlsmTabla_Sistema1"/>
        </x15:connection>
      </ext>
    </extLst>
  </connection>
  <connection id="3" xr16:uid="{31ACDDC9-91A1-4D9C-9255-D488AF24137C}" name="WorksheetConnection_Formato.xlsm!Tabla_Usuario" type="102" refreshedVersion="6" minRefreshableVersion="5">
    <extLst>
      <ext xmlns:x15="http://schemas.microsoft.com/office/spreadsheetml/2010/11/main" uri="{DE250136-89BD-433C-8126-D09CA5730AF9}">
        <x15:connection id="Tabla_Usuario">
          <x15:rangePr sourceName="_xlcn.WorksheetConnection_Formato.xlsmTabla_Usuario1"/>
        </x15:connection>
      </ext>
    </extLst>
  </connection>
</connections>
</file>

<file path=xl/sharedStrings.xml><?xml version="1.0" encoding="utf-8"?>
<sst xmlns="http://schemas.openxmlformats.org/spreadsheetml/2006/main" count="113" uniqueCount="73">
  <si>
    <t>General</t>
  </si>
  <si>
    <t>Individual</t>
  </si>
  <si>
    <t>Numero</t>
  </si>
  <si>
    <t>Descripcion</t>
  </si>
  <si>
    <t>Prestamos FM200</t>
  </si>
  <si>
    <t>Prestamos Quirografarios</t>
  </si>
  <si>
    <t>Prestamos Hipotecarios</t>
  </si>
  <si>
    <t>Celular</t>
  </si>
  <si>
    <t>AFP Genesis</t>
  </si>
  <si>
    <t>ADM UNIF</t>
  </si>
  <si>
    <t>FALTANTES</t>
  </si>
  <si>
    <t>Cinema</t>
  </si>
  <si>
    <t>C Interna</t>
  </si>
  <si>
    <t>D. Alimento</t>
  </si>
  <si>
    <t>Salud</t>
  </si>
  <si>
    <t>Seguro Medico</t>
  </si>
  <si>
    <t>Otros Descuentos</t>
  </si>
  <si>
    <t>AGASAJOS</t>
  </si>
  <si>
    <t>Ayuda Patricio Ramirez</t>
  </si>
  <si>
    <t>Multa</t>
  </si>
  <si>
    <t>Libreria Cientifica</t>
  </si>
  <si>
    <t>Lib. Eliot Import</t>
  </si>
  <si>
    <t>Taxi Amigo</t>
  </si>
  <si>
    <t>CREDIROL</t>
  </si>
  <si>
    <t>ATRASOS</t>
  </si>
  <si>
    <t>Pension De Alimentos</t>
  </si>
  <si>
    <t>Fondo Reserva</t>
  </si>
  <si>
    <t>Ayuda Fabrizio Arteaga</t>
  </si>
  <si>
    <t>Ayuda Santiago Cordova</t>
  </si>
  <si>
    <t>DIFARE</t>
  </si>
  <si>
    <t>IESS Conyugue</t>
  </si>
  <si>
    <t>Ayuda Nicola</t>
  </si>
  <si>
    <t>Uniformes</t>
  </si>
  <si>
    <t>Descuento Ley Humanitaria</t>
  </si>
  <si>
    <t>Prueba CodVid</t>
  </si>
  <si>
    <t>ACUERDO 47,1</t>
  </si>
  <si>
    <t>Fact a/c Empleado</t>
  </si>
  <si>
    <t>Comp ap IESS</t>
  </si>
  <si>
    <t>Ayuda vol PAGUAY</t>
  </si>
  <si>
    <t>ayuda Flavio Suarez</t>
  </si>
  <si>
    <t>Apadrinaje</t>
  </si>
  <si>
    <t>OPTICA</t>
  </si>
  <si>
    <t>CINEMALECOM</t>
  </si>
  <si>
    <t>Ayuda Jorge Fariño</t>
  </si>
  <si>
    <t>Ayuda Edison Mancheno</t>
  </si>
  <si>
    <t>DSCTO LA BOTA</t>
  </si>
  <si>
    <t>Ayuda Granda y Plua</t>
  </si>
  <si>
    <t>Dscto. Feria Escolar y de salud</t>
  </si>
  <si>
    <t>Faltas</t>
  </si>
  <si>
    <t>Ayuda Angel Pilay</t>
  </si>
  <si>
    <t>Sobregiro</t>
  </si>
  <si>
    <t>Ayuda Tello</t>
  </si>
  <si>
    <t>Donasion Casa Rosada</t>
  </si>
  <si>
    <t>Dscto. Mercadillo FM2K</t>
  </si>
  <si>
    <t>DIF IMPUESTO A LA RENTA 2022</t>
  </si>
  <si>
    <t>Ayuda Jose Luis Palacios</t>
  </si>
  <si>
    <t>Ayuda Miguel Merchan</t>
  </si>
  <si>
    <t>Ayuda Christia Cadenas</t>
  </si>
  <si>
    <t>Tipo Valor</t>
  </si>
  <si>
    <t>Aplica Valor</t>
  </si>
  <si>
    <t>Aplica % a parcial sueldo</t>
  </si>
  <si>
    <t>Compañía</t>
  </si>
  <si>
    <t>Cedula</t>
  </si>
  <si>
    <t>Tipo CxC</t>
  </si>
  <si>
    <t>CxC</t>
  </si>
  <si>
    <t>Tipo valor</t>
  </si>
  <si>
    <t>Valor/porcentaje</t>
  </si>
  <si>
    <t>No. cuotas</t>
  </si>
  <si>
    <t>Observacion</t>
  </si>
  <si>
    <t>Tipo Accion</t>
  </si>
  <si>
    <t>Fecha</t>
  </si>
  <si>
    <t>Id</t>
  </si>
  <si>
    <t>Anulacion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</si>
</sst>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#######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thin">
        <color indexed="64"/>
      </left>
      <right style="thin">
        <color indexed="64"/>
      </right>
      <top style="medium">
        <color rgb="FFCCCCCC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medium">
        <color rgb="FFCCCCCC"/>
      </right>
      <top style="thin">
        <color theme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3" borderId="2" xfId="0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0" fillId="3" borderId="5" xfId="0" applyFill="1" applyBorder="1" applyAlignment="1">
      <alignment wrapText="1"/>
    </xf>
    <xf numFmtId="0" fontId="0" fillId="2" borderId="4" xfId="0" applyFill="1" applyBorder="1" applyAlignment="1">
      <alignment wrapText="1"/>
    </xf>
    <xf numFmtId="0" fontId="0" fillId="0" borderId="2" xfId="0" applyBorder="1" applyAlignment="1">
      <alignment wrapText="1"/>
    </xf>
    <xf numFmtId="0" fontId="1" fillId="0" borderId="4" xfId="0" applyFont="1" applyBorder="1" applyAlignment="1">
      <alignment wrapText="1"/>
    </xf>
    <xf numFmtId="0" fontId="0" fillId="0" borderId="5" xfId="0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 wrapText="1"/>
    </xf>
    <xf numFmtId="164" fontId="0" fillId="3" borderId="1" xfId="0" applyNumberFormat="1" applyFill="1" applyBorder="1" applyAlignment="1">
      <alignment horizontal="center" wrapText="1"/>
    </xf>
    <xf numFmtId="14" fontId="0" fillId="3" borderId="1" xfId="0" applyNumberForma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2" borderId="8" xfId="0" applyFill="1" applyBorder="1" applyAlignment="1">
      <alignment wrapText="1"/>
    </xf>
    <xf numFmtId="0" fontId="0" fillId="3" borderId="4" xfId="0" applyFill="1" applyBorder="1" applyAlignment="1">
      <alignment wrapText="1"/>
    </xf>
    <xf numFmtId="0" fontId="1" fillId="2" borderId="8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1" fillId="0" borderId="8" xfId="0" applyFont="1" applyBorder="1" applyAlignment="1">
      <alignment wrapText="1"/>
    </xf>
    <xf numFmtId="0" fontId="1" fillId="3" borderId="1" xfId="0" applyFont="1" applyFill="1" applyBorder="1" applyAlignment="1">
      <alignment horizontal="center" wrapText="1"/>
    </xf>
    <xf numFmtId="14" fontId="1" fillId="3" borderId="1" xfId="0" applyNumberFormat="1" applyFont="1" applyFill="1" applyBorder="1" applyAlignment="1">
      <alignment horizontal="center" wrapText="1"/>
    </xf>
    <xf numFmtId="164" fontId="1" fillId="3" borderId="1" xfId="0" applyNumberFormat="1" applyFont="1" applyFill="1" applyBorder="1" applyAlignment="1">
      <alignment horizontal="center" wrapText="1"/>
    </xf>
    <xf numFmtId="0" fontId="1" fillId="3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wrapText="1"/>
    </xf>
    <xf numFmtId="0" fontId="0" fillId="0" borderId="0" xfId="0" applyProtection="1">
      <protection hidden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14" fontId="1" fillId="4" borderId="11" xfId="0" applyNumberFormat="1" applyFont="1" applyFill="1" applyBorder="1" applyAlignment="1">
      <alignment horizontal="center" vertical="center" wrapText="1"/>
    </xf>
    <xf numFmtId="0" fontId="1" fillId="4" borderId="11" xfId="0" applyNumberFormat="1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</cellXfs>
  <cellStyles count="1">
    <cellStyle name="Normal" xfId="0" builtinId="0"/>
  </cellStyles>
  <dxfs count="72"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164" formatCode="0##########"/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19" formatCode="dd/mm/yyyy"/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medium">
          <color rgb="FFCCCCCC"/>
        </right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rgb="FFCCCCCC"/>
        </top>
        <bottom/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ill>
        <patternFill patternType="solid">
          <fgColor indexed="64"/>
          <bgColor rgb="FF4472C4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164" formatCode="0##########"/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19" formatCode="dd/mm/yyyy"/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diagonalUp="0" diagonalDown="0">
        <left style="thin">
          <color indexed="64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rgb="FFD9E2F3"/>
        </patternFill>
      </fill>
      <alignment horizontal="center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5</xdr:col>
          <xdr:colOff>361950</xdr:colOff>
          <xdr:row>7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D92B13-497D-49F7-8274-7BAE1793A7AB}" name="Temp_Tabla" displayName="Temp_Tabla" ref="B17:L18" insertRow="1" totalsRowShown="0" headerRowDxfId="71" dataDxfId="69" headerRowBorderDxfId="70" tableBorderDxfId="68" totalsRowBorderDxfId="67">
  <autoFilter ref="B17:L18" xr:uid="{263F19A2-1AA6-49CA-864A-EAE9CF92F7C5}"/>
  <tableColumns count="11">
    <tableColumn id="11" xr3:uid="{2943DAA2-F79A-4D1F-BD55-7274B8967F8C}" name="Id" dataDxfId="66"/>
    <tableColumn id="1" xr3:uid="{840F45F8-BA3E-4DEB-9D51-6B8B8FFA8B1D}" name="Compañía" dataDxfId="9"/>
    <tableColumn id="2" xr3:uid="{A38DB68D-47E6-4DDA-924D-FF304E57A8C2}" name="Fecha" dataDxfId="8"/>
    <tableColumn id="3" xr3:uid="{8DAD5611-5AB8-4313-A158-C8C1D02D742C}" name="Tipo Accion" dataDxfId="7"/>
    <tableColumn id="4" xr3:uid="{E123B571-67C2-4962-A19B-001F619D3E3A}" name="Cedula" dataDxfId="6"/>
    <tableColumn id="5" xr3:uid="{BB1659C8-22C7-4DF7-AF7B-B26F616A287D}" name="Tipo CxC" dataDxfId="5"/>
    <tableColumn id="6" xr3:uid="{98335FED-E5A3-4E35-9827-6F248C5DBF2A}" name="CxC" dataDxfId="4"/>
    <tableColumn id="7" xr3:uid="{4CFD61CA-32AE-49D7-9F22-A64011F02DF0}" name="Tipo valor" dataDxfId="3"/>
    <tableColumn id="8" xr3:uid="{19E5019F-E384-4D41-B103-7EF9E611F7CB}" name="Valor/porcentaje" dataDxfId="2"/>
    <tableColumn id="9" xr3:uid="{BB806FFA-A978-4F08-88BA-CD68811B7A2C}" name="No. cuotas" dataDxfId="1"/>
    <tableColumn id="10" xr3:uid="{5B541B17-242E-4A12-B321-3F1A1AC99E1E}" name="Observacion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519EBC7-1704-4EB8-8257-7F32DEDF1877}" name="Tabla_Usuario" displayName="Tabla_Usuario" ref="A1:K2" insertRow="1" totalsRowShown="0" headerRowDxfId="65" dataDxfId="63" headerRowBorderDxfId="64" tableBorderDxfId="62">
  <autoFilter ref="A1:K2" xr:uid="{91A88E9C-0444-44E7-950F-F1CBFAB3B998}"/>
  <tableColumns count="11">
    <tableColumn id="11" xr3:uid="{04F362B0-96CB-4214-A05B-1CC5EBE7A847}" name="Id" dataDxfId="61"/>
    <tableColumn id="1" xr3:uid="{F4B832E6-AB75-478F-9903-253EDEF9BDA3}" name="Compañía" dataDxfId="60"/>
    <tableColumn id="2" xr3:uid="{692138CA-AE56-42D2-A70A-B18C0144C141}" name="Fecha" dataDxfId="59"/>
    <tableColumn id="3" xr3:uid="{FC79CA86-8D0B-4390-8197-4AEC6F60A061}" name="Tipo Accion" dataDxfId="58"/>
    <tableColumn id="4" xr3:uid="{09BA9C6E-FEF4-495D-B96F-D58C0C3F6FC0}" name="Cedula" dataDxfId="57"/>
    <tableColumn id="5" xr3:uid="{336BF117-FE5F-4A9D-8F54-D920C82B365C}" name="Tipo CxC" dataDxfId="56"/>
    <tableColumn id="6" xr3:uid="{D79984B7-3C26-4C90-931E-CB2D42F9ED4A}" name="CxC" dataDxfId="55"/>
    <tableColumn id="7" xr3:uid="{16A9231D-060E-4906-9AE9-8D1770F41C2E}" name="Tipo valor" dataDxfId="54"/>
    <tableColumn id="8" xr3:uid="{D3163956-2365-4D9F-AB83-29E38F7AB6AA}" name="Valor/porcentaje" dataDxfId="53"/>
    <tableColumn id="9" xr3:uid="{F47A8ACA-25B6-4A9A-A128-A82E07F753CB}" name="No. cuotas" dataDxfId="52"/>
    <tableColumn id="10" xr3:uid="{D78574C9-B5B8-4ECD-BFBB-C89EC0C82E1F}" name="Observacion" dataDxfId="5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6AEB97-4F11-4AFA-BB96-0DD66F90D687}" name="Tabla_Sistema" displayName="Tabla_Sistema" ref="A1:K2" headerRowDxfId="50" dataDxfId="10" headerRowBorderDxfId="49" tableBorderDxfId="48">
  <autoFilter ref="A1:K2" xr:uid="{B804A8A4-2B48-47E4-AA9E-28FC839C10EF}"/>
  <tableColumns count="11">
    <tableColumn id="11" xr3:uid="{199DA289-19AC-47FE-A5A3-FFA578205D49}" name="Id" dataDxfId="21">
      <calculatedColumnFormula>Tabla_Usuario[[#This Row],[Id]]</calculatedColumnFormula>
    </tableColumn>
    <tableColumn id="1" xr3:uid="{34A1D667-F9D3-4F63-AA7A-FE889E535C72}" name="Compañía" totalsRowLabel="Total" dataDxfId="20" totalsRowDxfId="47">
      <calculatedColumnFormula>VLOOKUP(Tabla_Sistema[[#This Row],[Id]],Tabla_Usuario[],2,FALSE)</calculatedColumnFormula>
    </tableColumn>
    <tableColumn id="2" xr3:uid="{9C7BB8F7-592F-4FA5-B62E-E1F9B4855C8A}" name="Fecha" dataDxfId="19">
      <calculatedColumnFormula>VLOOKUP(Tabla_Sistema[[#This Row],[Id]],Tabla_Usuario[],3,FALSE)</calculatedColumnFormula>
    </tableColumn>
    <tableColumn id="3" xr3:uid="{C11A1F40-B821-4D62-849E-74A807D6334D}" name="Tipo Accion" dataDxfId="18"/>
    <tableColumn id="4" xr3:uid="{E2FB0E1C-BFF6-4497-B77E-6254D15DA023}" name="Cedula" dataDxfId="17">
      <calculatedColumnFormula>VLOOKUP(Tabla_Sistema[[#This Row],[Id]],Tabla_Usuario[],5,FALSE)</calculatedColumnFormula>
    </tableColumn>
    <tableColumn id="5" xr3:uid="{15E4B446-4381-4CED-A331-0E219FEA213A}" name="Tipo CxC" dataDxfId="16">
      <calculatedColumnFormula>VLOOKUP(Tabla_Usuario[[#This Row],[Tipo CxC]],TipoCxC[#All],2,0)</calculatedColumnFormula>
    </tableColumn>
    <tableColumn id="6" xr3:uid="{DCBE977A-32EC-48C3-BC61-92BFE0070C9E}" name="CxC" dataDxfId="15">
      <calculatedColumnFormula>IF(Tabla_Sistema[[#This Row],[Tipo CxC]]=1, VLOOKUP(Tabla_Usuario[[#This Row],[CxC]],IndividualCxC[],2,FALSE),VLOOKUP(Tabla_Usuario[[#This Row],[CxC]],GeneralCxC[],2,FALSE))</calculatedColumnFormula>
    </tableColumn>
    <tableColumn id="7" xr3:uid="{3AB7511D-265F-4BC7-988F-F81C54E9048B}" name="Tipo valor" dataDxfId="14">
      <calculatedColumnFormula>VLOOKUP(Tabla_Usuario[[#This Row],[Tipo valor]],TipoValor[#All],2,0)</calculatedColumnFormula>
    </tableColumn>
    <tableColumn id="8" xr3:uid="{CC34ED61-E066-4DEC-835F-6C35E30AC13A}" name="Valor/porcentaje" dataDxfId="13">
      <calculatedColumnFormula>VLOOKUP(Tabla_Sistema[[#This Row],[Id]],Tabla_Usuario[],9,FALSE)</calculatedColumnFormula>
    </tableColumn>
    <tableColumn id="9" xr3:uid="{577BA733-CCBB-475A-A8D6-24C3F9D9E38F}" name="No. cuotas" dataDxfId="12">
      <calculatedColumnFormula>VLOOKUP(Tabla_Sistema[[#This Row],[Id]],Tabla_Usuario[],10,FALSE)</calculatedColumnFormula>
    </tableColumn>
    <tableColumn id="10" xr3:uid="{F2422C6E-0444-4D3B-A80F-1F72392DCCB5}" name="Observacion" totalsRowFunction="sum" dataDxfId="11" totalsRowDxfId="46">
      <calculatedColumnFormula>VLOOKUP(Tabla_Sistema[[#This Row],[Id]],Tabla_Usuario[],11,FALSE)</calculatedColumnFormula>
    </tableColumn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916E41-F989-4546-B8F7-BF6164613BFF}" name="TipoCxC" displayName="TipoCxC" ref="B4:C6" totalsRowShown="0" headerRowDxfId="45" headerRowBorderDxfId="44" tableBorderDxfId="43" totalsRowBorderDxfId="42">
  <autoFilter ref="B4:C6" xr:uid="{935988DC-E749-4072-95C1-B5DC918CEA17}"/>
  <tableColumns count="2">
    <tableColumn id="1" xr3:uid="{C140FCB3-9A49-4F93-939E-1359C7640CB6}" name="Descripcion" dataDxfId="41"/>
    <tableColumn id="2" xr3:uid="{5A63E47F-4599-44DB-A807-8DE66F6BA30D}" name="Numero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580954-BF5B-4B26-84FB-7138C10AE03F}" name="IndividualCxC" displayName="IndividualCxC" ref="E4:F16" totalsRowShown="0" headerRowDxfId="39" headerRowBorderDxfId="38" tableBorderDxfId="37" totalsRowBorderDxfId="36">
  <autoFilter ref="E4:F16" xr:uid="{3C3424B3-1357-4EC2-B84D-964E842544F1}"/>
  <tableColumns count="2">
    <tableColumn id="2" xr3:uid="{B450DE21-FA73-4015-96B4-E757DFC993ED}" name="Individual" dataDxfId="35"/>
    <tableColumn id="3" xr3:uid="{390ADD1E-54B5-4FF9-BBAE-6D6356DF7FDA}" name="Numero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27D35D-AF12-4AAD-B84E-6C2F820930F0}" name="GeneralCxC" displayName="GeneralCxC" ref="H4:I46" totalsRowShown="0" headerRowDxfId="33" headerRowBorderDxfId="32" tableBorderDxfId="31" totalsRowBorderDxfId="30">
  <autoFilter ref="H4:I46" xr:uid="{7367B2A1-853D-44BD-93F2-34140C6F829B}"/>
  <tableColumns count="2">
    <tableColumn id="2" xr3:uid="{8F3D5E1A-8919-488D-9710-4B2909CEB9FE}" name="General" dataDxfId="29"/>
    <tableColumn id="3" xr3:uid="{AB6F926E-5D2E-4277-97E5-ECF13395F5A9}" name="Numero" dataDxfId="2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65D365-7031-4F22-8FA1-A80C7D4D6CE6}" name="TipoValor" displayName="TipoValor" ref="K4:L6" totalsRowShown="0" headerRowDxfId="27" headerRowBorderDxfId="26" tableBorderDxfId="25" totalsRowBorderDxfId="24">
  <autoFilter ref="K4:L6" xr:uid="{F89E089C-7C83-4D80-BAB2-D225C0A9F12A}"/>
  <tableColumns count="2">
    <tableColumn id="2" xr3:uid="{E3A11B40-798E-43F6-B6AB-A70D129BAC66}" name="Tipo Valor" dataDxfId="23"/>
    <tableColumn id="3" xr3:uid="{2D24B5FE-C648-4810-A10A-A1F90B202ECD}" name="Numero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5D5B-5658-43C1-9FB8-CB9A65BFF305}">
  <sheetPr codeName="Hoja1"/>
  <dimension ref="B2:L18"/>
  <sheetViews>
    <sheetView workbookViewId="0">
      <selection activeCell="B18" sqref="B18:B19"/>
    </sheetView>
  </sheetViews>
  <sheetFormatPr baseColWidth="10" defaultRowHeight="15" x14ac:dyDescent="0.25"/>
  <cols>
    <col min="2" max="2" width="17.28515625" customWidth="1"/>
    <col min="3" max="3" width="24.7109375" customWidth="1"/>
    <col min="4" max="4" width="14.42578125" bestFit="1" customWidth="1"/>
    <col min="5" max="5" width="15.7109375" bestFit="1" customWidth="1"/>
    <col min="6" max="6" width="11.7109375" bestFit="1" customWidth="1"/>
    <col min="7" max="7" width="35" customWidth="1"/>
    <col min="8" max="8" width="26.140625" customWidth="1"/>
    <col min="9" max="10" width="22.85546875" bestFit="1" customWidth="1"/>
    <col min="11" max="11" width="20.85546875" bestFit="1" customWidth="1"/>
    <col min="12" max="12" width="23.140625" customWidth="1"/>
    <col min="13" max="13" width="16.5703125" bestFit="1" customWidth="1"/>
  </cols>
  <sheetData>
    <row r="2" spans="2:3" ht="15.75" thickBot="1" x14ac:dyDescent="0.3"/>
    <row r="3" spans="2:3" ht="15.75" thickBot="1" x14ac:dyDescent="0.3">
      <c r="B3" s="10" t="s">
        <v>61</v>
      </c>
      <c r="C3" s="11">
        <v>1</v>
      </c>
    </row>
    <row r="4" spans="2:3" ht="15.75" thickBot="1" x14ac:dyDescent="0.3">
      <c r="B4" s="10" t="s">
        <v>70</v>
      </c>
      <c r="C4" s="13">
        <f ca="1">TODAY()</f>
        <v>45182</v>
      </c>
    </row>
    <row r="5" spans="2:3" ht="15.75" thickBot="1" x14ac:dyDescent="0.3">
      <c r="B5" s="10" t="s">
        <v>69</v>
      </c>
      <c r="C5" s="11" t="s">
        <v>72</v>
      </c>
    </row>
    <row r="6" spans="2:3" ht="15.75" thickBot="1" x14ac:dyDescent="0.3">
      <c r="B6" s="10" t="s">
        <v>62</v>
      </c>
      <c r="C6" s="12">
        <v>557</v>
      </c>
    </row>
    <row r="7" spans="2:3" ht="15.75" thickBot="1" x14ac:dyDescent="0.3">
      <c r="B7" s="10" t="s">
        <v>63</v>
      </c>
      <c r="C7" s="11" t="s">
        <v>0</v>
      </c>
    </row>
    <row r="8" spans="2:3" ht="15.75" thickBot="1" x14ac:dyDescent="0.3">
      <c r="B8" s="9" t="s">
        <v>64</v>
      </c>
      <c r="C8" s="11" t="s">
        <v>18</v>
      </c>
    </row>
    <row r="9" spans="2:3" ht="15.75" thickBot="1" x14ac:dyDescent="0.3">
      <c r="B9" s="10" t="s">
        <v>65</v>
      </c>
      <c r="C9" s="11" t="s">
        <v>60</v>
      </c>
    </row>
    <row r="10" spans="2:3" ht="15.75" thickBot="1" x14ac:dyDescent="0.3">
      <c r="B10" s="10" t="s">
        <v>66</v>
      </c>
      <c r="C10" s="11">
        <v>55</v>
      </c>
    </row>
    <row r="11" spans="2:3" ht="15.75" thickBot="1" x14ac:dyDescent="0.3">
      <c r="B11" s="10" t="s">
        <v>67</v>
      </c>
      <c r="C11" s="11">
        <v>55</v>
      </c>
    </row>
    <row r="12" spans="2:3" ht="15.75" thickBot="1" x14ac:dyDescent="0.3">
      <c r="B12" s="10" t="s">
        <v>68</v>
      </c>
      <c r="C12" s="11">
        <v>55</v>
      </c>
    </row>
    <row r="17" spans="2:12" ht="15.75" thickBot="1" x14ac:dyDescent="0.3">
      <c r="B17" s="27" t="s">
        <v>71</v>
      </c>
      <c r="C17" s="26" t="s">
        <v>61</v>
      </c>
      <c r="D17" s="27" t="s">
        <v>70</v>
      </c>
      <c r="E17" s="27" t="s">
        <v>69</v>
      </c>
      <c r="F17" s="27" t="s">
        <v>62</v>
      </c>
      <c r="G17" s="27" t="s">
        <v>63</v>
      </c>
      <c r="H17" s="28" t="s">
        <v>64</v>
      </c>
      <c r="I17" s="27" t="s">
        <v>65</v>
      </c>
      <c r="J17" s="27" t="s">
        <v>66</v>
      </c>
      <c r="K17" s="27" t="s">
        <v>67</v>
      </c>
      <c r="L17" s="29" t="s">
        <v>68</v>
      </c>
    </row>
    <row r="18" spans="2:12" ht="15.75" thickBot="1" x14ac:dyDescent="0.3">
      <c r="B18" s="22"/>
      <c r="C18" s="22"/>
      <c r="D18" s="23"/>
      <c r="E18" s="22"/>
      <c r="F18" s="24"/>
      <c r="G18" s="22"/>
      <c r="H18" s="22"/>
      <c r="I18" s="22"/>
      <c r="J18" s="22"/>
      <c r="K18" s="22"/>
      <c r="L18" s="22"/>
    </row>
  </sheetData>
  <dataValidations count="5">
    <dataValidation type="list" allowBlank="1" showInputMessage="1" showErrorMessage="1" sqref="C7" xr:uid="{3D47F355-DD80-46FD-8B09-B7052450C606}">
      <formula1>Descripcion</formula1>
    </dataValidation>
    <dataValidation type="list" allowBlank="1" showInputMessage="1" showErrorMessage="1" errorTitle="Campo no Existente" sqref="C9" xr:uid="{A86E6163-412E-40FF-B5A7-2EDC33733DBF}">
      <formula1>Tipo_Valor</formula1>
    </dataValidation>
    <dataValidation type="list" allowBlank="1" showInputMessage="1" showErrorMessage="1" sqref="C8" xr:uid="{04850FAE-F005-4806-B949-CB411A9F40C1}">
      <formula1>INDIRECT($C$7)</formula1>
    </dataValidation>
    <dataValidation type="list" allowBlank="1" showInputMessage="1" showErrorMessage="1" sqref="C5" xr:uid="{240B8FBB-9909-4A81-A83A-52A830EC282B}">
      <formula1>"Ingreso, Anulacion"</formula1>
    </dataValidation>
    <dataValidation allowBlank="1" showInputMessage="1" showErrorMessage="1" errorTitle="Campo no Existente" sqref="I18" xr:uid="{43559194-82AD-48A3-8C5B-0FD3CCF9B59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oja1.Guardar">
                <anchor moveWithCells="1">
                  <from>
                    <xdr:col>4</xdr:col>
                    <xdr:colOff>19050</xdr:colOff>
                    <xdr:row>5</xdr:row>
                    <xdr:rowOff>19050</xdr:rowOff>
                  </from>
                  <to>
                    <xdr:col>5</xdr:col>
                    <xdr:colOff>361950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CE31-C820-4BA4-B5D7-FE855DFEEE83}">
  <sheetPr codeName="Hoja4"/>
  <dimension ref="A1:K14"/>
  <sheetViews>
    <sheetView tabSelected="1" workbookViewId="0">
      <selection activeCell="K2" sqref="K2"/>
    </sheetView>
  </sheetViews>
  <sheetFormatPr baseColWidth="10" defaultRowHeight="15" x14ac:dyDescent="0.25"/>
  <cols>
    <col min="1" max="2" width="14.42578125" bestFit="1" customWidth="1"/>
    <col min="3" max="4" width="15.7109375" bestFit="1" customWidth="1"/>
    <col min="5" max="6" width="13.140625" bestFit="1" customWidth="1"/>
    <col min="7" max="7" width="29.85546875" customWidth="1"/>
    <col min="8" max="8" width="27.28515625" customWidth="1"/>
    <col min="9" max="9" width="21.140625" customWidth="1"/>
    <col min="10" max="10" width="14.85546875" bestFit="1" customWidth="1"/>
    <col min="11" max="11" width="40.85546875" customWidth="1"/>
  </cols>
  <sheetData>
    <row r="1" spans="1:11" ht="15.75" thickBot="1" x14ac:dyDescent="0.3">
      <c r="A1" s="28" t="s">
        <v>71</v>
      </c>
      <c r="B1" s="14" t="s">
        <v>61</v>
      </c>
      <c r="C1" s="15" t="s">
        <v>70</v>
      </c>
      <c r="D1" s="15" t="s">
        <v>69</v>
      </c>
      <c r="E1" s="15" t="s">
        <v>62</v>
      </c>
      <c r="F1" s="15" t="s">
        <v>63</v>
      </c>
      <c r="G1" s="15" t="s">
        <v>64</v>
      </c>
      <c r="H1" s="15" t="s">
        <v>65</v>
      </c>
      <c r="I1" s="15" t="s">
        <v>66</v>
      </c>
      <c r="J1" s="15" t="s">
        <v>67</v>
      </c>
      <c r="K1" s="16" t="s">
        <v>68</v>
      </c>
    </row>
    <row r="2" spans="1:11" ht="15.75" thickBot="1" x14ac:dyDescent="0.3">
      <c r="A2" s="22"/>
      <c r="B2" s="22"/>
      <c r="C2" s="23"/>
      <c r="D2" s="22"/>
      <c r="E2" s="24"/>
      <c r="F2" s="22"/>
      <c r="G2" s="25"/>
      <c r="H2" s="22"/>
      <c r="I2" s="22"/>
      <c r="J2" s="22"/>
      <c r="K2" s="22"/>
    </row>
    <row r="14" spans="1:11" x14ac:dyDescent="0.25">
      <c r="C14" s="30"/>
    </row>
  </sheetData>
  <sheetProtection deleteRows="0"/>
  <phoneticPr fontId="2" type="noConversion"/>
  <dataValidations count="1">
    <dataValidation allowBlank="1" showInputMessage="1" showErrorMessage="1" errorTitle="Campo no Existente" sqref="H2" xr:uid="{7FE0F277-4D78-4936-A02C-8B7F152CD897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EA28F-2C61-4202-B9A2-A4BBDA7AECB0}">
  <sheetPr codeName="Hoja3"/>
  <dimension ref="A1:K2"/>
  <sheetViews>
    <sheetView workbookViewId="0">
      <selection activeCell="C5" sqref="C5"/>
    </sheetView>
  </sheetViews>
  <sheetFormatPr baseColWidth="10" defaultRowHeight="15" x14ac:dyDescent="0.25"/>
  <cols>
    <col min="1" max="2" width="14.42578125" bestFit="1" customWidth="1"/>
    <col min="3" max="4" width="15.7109375" bestFit="1" customWidth="1"/>
    <col min="5" max="6" width="13.140625" bestFit="1" customWidth="1"/>
    <col min="7" max="7" width="9.7109375" customWidth="1"/>
    <col min="8" max="8" width="14.28515625" bestFit="1" customWidth="1"/>
    <col min="9" max="9" width="20.85546875" bestFit="1" customWidth="1"/>
    <col min="10" max="10" width="14.85546875" bestFit="1" customWidth="1"/>
    <col min="11" max="11" width="34.42578125" customWidth="1"/>
  </cols>
  <sheetData>
    <row r="1" spans="1:11" ht="15.75" thickBot="1" x14ac:dyDescent="0.3">
      <c r="A1" s="28" t="s">
        <v>71</v>
      </c>
      <c r="B1" s="14" t="s">
        <v>61</v>
      </c>
      <c r="C1" s="15" t="s">
        <v>70</v>
      </c>
      <c r="D1" s="15" t="s">
        <v>69</v>
      </c>
      <c r="E1" s="15" t="s">
        <v>62</v>
      </c>
      <c r="F1" s="15" t="s">
        <v>63</v>
      </c>
      <c r="G1" s="15" t="s">
        <v>64</v>
      </c>
      <c r="H1" s="15" t="s">
        <v>65</v>
      </c>
      <c r="I1" s="15" t="s">
        <v>66</v>
      </c>
      <c r="J1" s="15" t="s">
        <v>67</v>
      </c>
      <c r="K1" s="16" t="s">
        <v>68</v>
      </c>
    </row>
    <row r="2" spans="1:11" x14ac:dyDescent="0.25">
      <c r="A2" s="31">
        <f>Tabla_Usuario[[#This Row],[Id]]</f>
        <v>0</v>
      </c>
      <c r="B2" s="32" t="e">
        <f>VLOOKUP(Tabla_Sistema[[#This Row],[Id]],Tabla_Usuario[],2,FALSE)</f>
        <v>#N/A</v>
      </c>
      <c r="C2" s="33" t="e">
        <f>VLOOKUP(Tabla_Sistema[[#This Row],[Id]],Tabla_Usuario[],3,FALSE)</f>
        <v>#N/A</v>
      </c>
      <c r="D2" s="32"/>
      <c r="E2" s="32" t="e">
        <f>VLOOKUP(Tabla_Sistema[[#This Row],[Id]],Tabla_Usuario[],5,FALSE)</f>
        <v>#N/A</v>
      </c>
      <c r="F2" s="34" t="e">
        <f>VLOOKUP(Tabla_Usuario[[#This Row],[Tipo CxC]],TipoCxC[#All],2,0)</f>
        <v>#N/A</v>
      </c>
      <c r="G2" s="32" t="e">
        <f>IF(Tabla_Sistema[[#This Row],[Tipo CxC]]=1, VLOOKUP(Tabla_Usuario[[#This Row],[CxC]],IndividualCxC[],2,FALSE),VLOOKUP(Tabla_Usuario[[#This Row],[CxC]],GeneralCxC[],2,FALSE))</f>
        <v>#N/A</v>
      </c>
      <c r="H2" s="32" t="e">
        <f>VLOOKUP(Tabla_Usuario[[#This Row],[Tipo valor]],TipoValor[#All],2,0)</f>
        <v>#N/A</v>
      </c>
      <c r="I2" s="34" t="e">
        <f>VLOOKUP(Tabla_Sistema[[#This Row],[Id]],Tabla_Usuario[],9,FALSE)</f>
        <v>#N/A</v>
      </c>
      <c r="J2" s="32" t="e">
        <f>VLOOKUP(Tabla_Sistema[[#This Row],[Id]],Tabla_Usuario[],10,FALSE)</f>
        <v>#N/A</v>
      </c>
      <c r="K2" s="35" t="e">
        <f>VLOOKUP(Tabla_Sistema[[#This Row],[Id]],Tabla_Usuario[],11,FALSE)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211E5-CDCD-46FF-BD8B-717984A28691}">
  <sheetPr codeName="Hoja2"/>
  <dimension ref="B4:L46"/>
  <sheetViews>
    <sheetView workbookViewId="0">
      <selection activeCell="I18" sqref="I18"/>
    </sheetView>
  </sheetViews>
  <sheetFormatPr baseColWidth="10" defaultRowHeight="15" x14ac:dyDescent="0.25"/>
  <cols>
    <col min="2" max="2" width="13.5703125" bestFit="1" customWidth="1"/>
    <col min="3" max="3" width="13.42578125" customWidth="1"/>
    <col min="5" max="5" width="23.140625" customWidth="1"/>
    <col min="8" max="8" width="30.140625" customWidth="1"/>
    <col min="11" max="11" width="22.85546875" bestFit="1" customWidth="1"/>
  </cols>
  <sheetData>
    <row r="4" spans="2:12" ht="15.75" thickBot="1" x14ac:dyDescent="0.3">
      <c r="B4" s="2" t="s">
        <v>3</v>
      </c>
      <c r="C4" s="3" t="s">
        <v>2</v>
      </c>
      <c r="E4" s="5" t="s">
        <v>1</v>
      </c>
      <c r="F4" s="17" t="s">
        <v>2</v>
      </c>
      <c r="H4" s="3" t="s">
        <v>0</v>
      </c>
      <c r="I4" s="19" t="s">
        <v>2</v>
      </c>
      <c r="K4" s="7" t="s">
        <v>58</v>
      </c>
      <c r="L4" s="21" t="s">
        <v>2</v>
      </c>
    </row>
    <row r="5" spans="2:12" ht="15.75" thickBot="1" x14ac:dyDescent="0.3">
      <c r="B5" s="1" t="s">
        <v>1</v>
      </c>
      <c r="C5" s="1">
        <v>1</v>
      </c>
      <c r="E5" s="1" t="s">
        <v>4</v>
      </c>
      <c r="F5" s="18">
        <v>1</v>
      </c>
      <c r="H5" s="1" t="s">
        <v>16</v>
      </c>
      <c r="I5" s="18">
        <v>1</v>
      </c>
      <c r="K5" s="6" t="s">
        <v>59</v>
      </c>
      <c r="L5" s="20">
        <v>1</v>
      </c>
    </row>
    <row r="6" spans="2:12" ht="15.75" customHeight="1" thickBot="1" x14ac:dyDescent="0.3">
      <c r="B6" s="4" t="s">
        <v>0</v>
      </c>
      <c r="C6" s="4">
        <v>2</v>
      </c>
      <c r="E6" s="1" t="s">
        <v>5</v>
      </c>
      <c r="F6" s="1">
        <v>2</v>
      </c>
      <c r="H6" s="1" t="s">
        <v>17</v>
      </c>
      <c r="I6" s="1">
        <v>2</v>
      </c>
      <c r="K6" s="8" t="s">
        <v>60</v>
      </c>
      <c r="L6" s="8">
        <v>2</v>
      </c>
    </row>
    <row r="7" spans="2:12" ht="15.75" thickBot="1" x14ac:dyDescent="0.3">
      <c r="E7" s="1" t="s">
        <v>6</v>
      </c>
      <c r="F7" s="1">
        <v>3</v>
      </c>
      <c r="H7" s="1" t="s">
        <v>18</v>
      </c>
      <c r="I7" s="1">
        <v>3</v>
      </c>
    </row>
    <row r="8" spans="2:12" ht="15.75" thickBot="1" x14ac:dyDescent="0.3">
      <c r="E8" s="1" t="s">
        <v>7</v>
      </c>
      <c r="F8" s="1">
        <v>4</v>
      </c>
      <c r="H8" s="1" t="s">
        <v>19</v>
      </c>
      <c r="I8" s="1">
        <v>4</v>
      </c>
    </row>
    <row r="9" spans="2:12" ht="15.75" thickBot="1" x14ac:dyDescent="0.3">
      <c r="E9" s="1" t="s">
        <v>8</v>
      </c>
      <c r="F9" s="1">
        <v>5</v>
      </c>
      <c r="H9" s="1" t="s">
        <v>20</v>
      </c>
      <c r="I9" s="1">
        <v>5</v>
      </c>
    </row>
    <row r="10" spans="2:12" ht="15.75" thickBot="1" x14ac:dyDescent="0.3">
      <c r="E10" s="1" t="s">
        <v>9</v>
      </c>
      <c r="F10" s="1">
        <v>6</v>
      </c>
      <c r="H10" s="1" t="s">
        <v>21</v>
      </c>
      <c r="I10" s="1">
        <v>6</v>
      </c>
    </row>
    <row r="11" spans="2:12" ht="15.75" thickBot="1" x14ac:dyDescent="0.3">
      <c r="E11" s="1" t="s">
        <v>10</v>
      </c>
      <c r="F11" s="1">
        <v>7</v>
      </c>
      <c r="H11" s="1" t="s">
        <v>22</v>
      </c>
      <c r="I11" s="1">
        <v>7</v>
      </c>
    </row>
    <row r="12" spans="2:12" ht="15.75" thickBot="1" x14ac:dyDescent="0.3">
      <c r="E12" s="1" t="s">
        <v>11</v>
      </c>
      <c r="F12" s="1">
        <v>8</v>
      </c>
      <c r="H12" s="1" t="s">
        <v>23</v>
      </c>
      <c r="I12" s="1">
        <v>8</v>
      </c>
    </row>
    <row r="13" spans="2:12" ht="15.75" thickBot="1" x14ac:dyDescent="0.3">
      <c r="E13" s="1" t="s">
        <v>12</v>
      </c>
      <c r="F13" s="1">
        <v>9</v>
      </c>
      <c r="H13" s="1" t="s">
        <v>24</v>
      </c>
      <c r="I13" s="1">
        <v>9</v>
      </c>
    </row>
    <row r="14" spans="2:12" ht="15.75" thickBot="1" x14ac:dyDescent="0.3">
      <c r="E14" s="1" t="s">
        <v>13</v>
      </c>
      <c r="F14" s="1">
        <v>10</v>
      </c>
      <c r="H14" s="1" t="s">
        <v>25</v>
      </c>
      <c r="I14" s="1">
        <v>10</v>
      </c>
    </row>
    <row r="15" spans="2:12" ht="15.75" thickBot="1" x14ac:dyDescent="0.3">
      <c r="E15" s="1" t="s">
        <v>14</v>
      </c>
      <c r="F15" s="1">
        <v>11</v>
      </c>
      <c r="H15" s="1" t="s">
        <v>26</v>
      </c>
      <c r="I15" s="1">
        <v>11</v>
      </c>
    </row>
    <row r="16" spans="2:12" ht="15.75" thickBot="1" x14ac:dyDescent="0.3">
      <c r="E16" s="4" t="s">
        <v>15</v>
      </c>
      <c r="F16" s="4">
        <v>12</v>
      </c>
      <c r="H16" s="1" t="s">
        <v>27</v>
      </c>
      <c r="I16" s="1">
        <v>12</v>
      </c>
    </row>
    <row r="17" spans="8:9" ht="15.75" thickBot="1" x14ac:dyDescent="0.3">
      <c r="H17" s="1" t="s">
        <v>28</v>
      </c>
      <c r="I17" s="1">
        <v>13</v>
      </c>
    </row>
    <row r="18" spans="8:9" ht="15.75" thickBot="1" x14ac:dyDescent="0.3">
      <c r="H18" s="1" t="s">
        <v>29</v>
      </c>
      <c r="I18" s="1">
        <v>14</v>
      </c>
    </row>
    <row r="19" spans="8:9" ht="15.75" thickBot="1" x14ac:dyDescent="0.3">
      <c r="H19" s="1" t="s">
        <v>30</v>
      </c>
      <c r="I19" s="1">
        <v>15</v>
      </c>
    </row>
    <row r="20" spans="8:9" ht="15.75" thickBot="1" x14ac:dyDescent="0.3">
      <c r="H20" s="1" t="s">
        <v>31</v>
      </c>
      <c r="I20" s="1">
        <v>16</v>
      </c>
    </row>
    <row r="21" spans="8:9" ht="15.75" thickBot="1" x14ac:dyDescent="0.3">
      <c r="H21" s="1" t="s">
        <v>32</v>
      </c>
      <c r="I21" s="1">
        <v>17</v>
      </c>
    </row>
    <row r="22" spans="8:9" ht="15.75" thickBot="1" x14ac:dyDescent="0.3">
      <c r="H22" s="1" t="s">
        <v>33</v>
      </c>
      <c r="I22" s="1">
        <v>18</v>
      </c>
    </row>
    <row r="23" spans="8:9" ht="15.75" thickBot="1" x14ac:dyDescent="0.3">
      <c r="H23" s="1" t="s">
        <v>34</v>
      </c>
      <c r="I23" s="1">
        <v>19</v>
      </c>
    </row>
    <row r="24" spans="8:9" ht="15.75" thickBot="1" x14ac:dyDescent="0.3">
      <c r="H24" s="1" t="s">
        <v>35</v>
      </c>
      <c r="I24" s="1">
        <v>20</v>
      </c>
    </row>
    <row r="25" spans="8:9" ht="15.75" thickBot="1" x14ac:dyDescent="0.3">
      <c r="H25" s="1" t="s">
        <v>36</v>
      </c>
      <c r="I25" s="1">
        <v>21</v>
      </c>
    </row>
    <row r="26" spans="8:9" ht="15.75" thickBot="1" x14ac:dyDescent="0.3">
      <c r="H26" s="1" t="s">
        <v>37</v>
      </c>
      <c r="I26" s="1">
        <v>22</v>
      </c>
    </row>
    <row r="27" spans="8:9" ht="15.75" thickBot="1" x14ac:dyDescent="0.3">
      <c r="H27" s="1" t="s">
        <v>38</v>
      </c>
      <c r="I27" s="1">
        <v>23</v>
      </c>
    </row>
    <row r="28" spans="8:9" ht="15.75" thickBot="1" x14ac:dyDescent="0.3">
      <c r="H28" s="1" t="s">
        <v>39</v>
      </c>
      <c r="I28" s="1">
        <v>24</v>
      </c>
    </row>
    <row r="29" spans="8:9" ht="15.75" thickBot="1" x14ac:dyDescent="0.3">
      <c r="H29" s="1" t="s">
        <v>40</v>
      </c>
      <c r="I29" s="1">
        <v>25</v>
      </c>
    </row>
    <row r="30" spans="8:9" ht="15.75" thickBot="1" x14ac:dyDescent="0.3">
      <c r="H30" s="1" t="s">
        <v>41</v>
      </c>
      <c r="I30" s="1">
        <v>26</v>
      </c>
    </row>
    <row r="31" spans="8:9" ht="15.75" thickBot="1" x14ac:dyDescent="0.3">
      <c r="H31" s="1" t="s">
        <v>42</v>
      </c>
      <c r="I31" s="1">
        <v>27</v>
      </c>
    </row>
    <row r="32" spans="8:9" ht="15.75" thickBot="1" x14ac:dyDescent="0.3">
      <c r="H32" s="1" t="s">
        <v>43</v>
      </c>
      <c r="I32" s="1">
        <v>28</v>
      </c>
    </row>
    <row r="33" spans="8:9" ht="15.75" thickBot="1" x14ac:dyDescent="0.3">
      <c r="H33" s="1" t="s">
        <v>44</v>
      </c>
      <c r="I33" s="1">
        <v>29</v>
      </c>
    </row>
    <row r="34" spans="8:9" ht="15.75" thickBot="1" x14ac:dyDescent="0.3">
      <c r="H34" s="1" t="s">
        <v>45</v>
      </c>
      <c r="I34" s="1">
        <v>30</v>
      </c>
    </row>
    <row r="35" spans="8:9" ht="15.75" thickBot="1" x14ac:dyDescent="0.3">
      <c r="H35" s="1" t="s">
        <v>46</v>
      </c>
      <c r="I35" s="1">
        <v>31</v>
      </c>
    </row>
    <row r="36" spans="8:9" ht="18.75" customHeight="1" thickBot="1" x14ac:dyDescent="0.3">
      <c r="H36" s="1" t="s">
        <v>47</v>
      </c>
      <c r="I36" s="1">
        <v>32</v>
      </c>
    </row>
    <row r="37" spans="8:9" ht="15.75" thickBot="1" x14ac:dyDescent="0.3">
      <c r="H37" s="1" t="s">
        <v>48</v>
      </c>
      <c r="I37" s="1">
        <v>33</v>
      </c>
    </row>
    <row r="38" spans="8:9" ht="15.75" thickBot="1" x14ac:dyDescent="0.3">
      <c r="H38" s="1" t="s">
        <v>49</v>
      </c>
      <c r="I38" s="1">
        <v>34</v>
      </c>
    </row>
    <row r="39" spans="8:9" ht="15.75" thickBot="1" x14ac:dyDescent="0.3">
      <c r="H39" s="1" t="s">
        <v>50</v>
      </c>
      <c r="I39" s="1">
        <v>35</v>
      </c>
    </row>
    <row r="40" spans="8:9" ht="15.75" thickBot="1" x14ac:dyDescent="0.3">
      <c r="H40" s="1" t="s">
        <v>51</v>
      </c>
      <c r="I40" s="1">
        <v>36</v>
      </c>
    </row>
    <row r="41" spans="8:9" ht="15.75" thickBot="1" x14ac:dyDescent="0.3">
      <c r="H41" s="1" t="s">
        <v>52</v>
      </c>
      <c r="I41" s="1">
        <v>37</v>
      </c>
    </row>
    <row r="42" spans="8:9" ht="15.75" thickBot="1" x14ac:dyDescent="0.3">
      <c r="H42" s="1" t="s">
        <v>53</v>
      </c>
      <c r="I42" s="1">
        <v>38</v>
      </c>
    </row>
    <row r="43" spans="8:9" ht="15.75" thickBot="1" x14ac:dyDescent="0.3">
      <c r="H43" s="1" t="s">
        <v>54</v>
      </c>
      <c r="I43" s="1">
        <v>39</v>
      </c>
    </row>
    <row r="44" spans="8:9" ht="15.75" thickBot="1" x14ac:dyDescent="0.3">
      <c r="H44" s="1" t="s">
        <v>55</v>
      </c>
      <c r="I44" s="1">
        <v>40</v>
      </c>
    </row>
    <row r="45" spans="8:9" ht="15.75" thickBot="1" x14ac:dyDescent="0.3">
      <c r="H45" s="1" t="s">
        <v>56</v>
      </c>
      <c r="I45" s="1">
        <v>41</v>
      </c>
    </row>
    <row r="46" spans="8:9" x14ac:dyDescent="0.25">
      <c r="H46" s="4" t="s">
        <v>57</v>
      </c>
      <c r="I46" s="4">
        <v>42</v>
      </c>
    </row>
  </sheetData>
  <sheetProtection sheet="1" objects="1" scenarios="1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D4196F-43F2-40FE-BDC0-EACE11BA6C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Registros</vt:lpstr>
      <vt:lpstr>Tabla Usuario</vt:lpstr>
      <vt:lpstr>Tabla Sistema</vt:lpstr>
      <vt:lpstr>Tablas</vt:lpstr>
      <vt:lpstr>Descripcion</vt:lpstr>
      <vt:lpstr>General</vt:lpstr>
      <vt:lpstr>Individual</vt:lpstr>
      <vt:lpstr>Tipo_Valor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USER02</dc:creator>
  <cp:lastModifiedBy>USER02</cp:lastModifiedBy>
  <dcterms:created xsi:type="dcterms:W3CDTF">2023-09-12T16:59:46Z</dcterms:created>
  <dcterms:modified xsi:type="dcterms:W3CDTF">2023-09-13T20:29:44Z</dcterms:modified>
</cp:coreProperties>
</file>